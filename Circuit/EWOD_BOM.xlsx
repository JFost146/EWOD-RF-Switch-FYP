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f/Desktop/Uni Final Year/fyp/Circuit Design/"/>
    </mc:Choice>
  </mc:AlternateContent>
  <xr:revisionPtr revIDLastSave="0" documentId="8_{7E3859BC-2972-6D45-B7E2-98B86A00CEF1}" xr6:coauthVersionLast="36" xr6:coauthVersionMax="36" xr10:uidLastSave="{00000000-0000-0000-0000-000000000000}"/>
  <bookViews>
    <workbookView xWindow="780" yWindow="1000" windowWidth="27640" windowHeight="16080" xr2:uid="{5DCDB064-8B5F-A243-ACDA-208F58E907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7" i="1"/>
  <c r="G16" i="1"/>
  <c r="G19" i="1" s="1"/>
  <c r="G20" i="1" s="1"/>
  <c r="G21" i="1" s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<sst xmlns="http://schemas.openxmlformats.org/spreadsheetml/2006/main" count="77" uniqueCount="77">
  <si>
    <t>Component</t>
  </si>
  <si>
    <t>Designator</t>
  </si>
  <si>
    <t>Value</t>
  </si>
  <si>
    <t>Quantity</t>
  </si>
  <si>
    <t>Price</t>
  </si>
  <si>
    <t>Link</t>
  </si>
  <si>
    <t>Total</t>
  </si>
  <si>
    <t>478-KGM21NR71H104KTCT-ND</t>
  </si>
  <si>
    <t>C2,C3</t>
  </si>
  <si>
    <t>100nF</t>
  </si>
  <si>
    <t>https://www.digikey.com/en/products/detail/kyocera-avx-components-corporation/KGM21NR71H104KT/564427?curr=gbp&amp;utm_campaign=buynow&amp;utm_medium=aggregator&amp;utm_source=octopart</t>
  </si>
  <si>
    <t>CL31A106KBHNNNE</t>
  </si>
  <si>
    <t>C5</t>
  </si>
  <si>
    <t>10uF</t>
  </si>
  <si>
    <t>https://www.digikey.com/en/products/detail/samsung-electro-mechanics-america-inc/CL31A106KBHNNNE/3890962?curr=gbp&amp;utm_campaign=buynow&amp;utm_medium=aggregator&amp;utm_source=octopart</t>
  </si>
  <si>
    <t>C1</t>
  </si>
  <si>
    <t>100uF</t>
  </si>
  <si>
    <t>https://www.digikey.com/en/products/detail/wurth-electronics-inc/875105344010/5147976?curr=gbp&amp;utm_campaign=buynow&amp;utm_medium=aggregator&amp;utm_source=octopart</t>
  </si>
  <si>
    <t>CDRH125/LDNP-101MC</t>
  </si>
  <si>
    <t>L1</t>
  </si>
  <si>
    <t>100uH</t>
  </si>
  <si>
    <t>https://www.digikey.com/en/products/detail/sumida-america-inc/CDRH125-LDNP-101MC/1879027?curr=gbp&amp;utm_campaign=buynow&amp;utm_medium=aggregator&amp;utm_source=octopart</t>
  </si>
  <si>
    <t>RC0805JR-078K2L</t>
  </si>
  <si>
    <t>R1</t>
  </si>
  <si>
    <t>8k</t>
  </si>
  <si>
    <t>https://www.digikey.com/en/products/detail/yageo/RC0805JR-078K2L/731320?curr=gbp&amp;utm_campaign=buynow&amp;utm_medium=aggregator&amp;utm_source=octopart</t>
  </si>
  <si>
    <t>CRCW080510K0FKEA</t>
  </si>
  <si>
    <t>R5</t>
  </si>
  <si>
    <t>10k</t>
  </si>
  <si>
    <t>https://www.digikey.com/en/products/detail/vishay-dale/CRCW080510K0FKEA/1180897?curr=gbp&amp;utm_campaign=buynow&amp;utm_medium=aggregator&amp;utm_source=octopart</t>
  </si>
  <si>
    <t>RMCF1206JT22M0</t>
  </si>
  <si>
    <t>R3,R4,R8,R11</t>
  </si>
  <si>
    <t>22M</t>
  </si>
  <si>
    <t>https://www.digikey.com/en/products/detail/stackpole-electronics-inc/RMCF1206JT22M0/7906919?curr=gbp&amp;utm_campaign=buynow&amp;utm_medium=aggregator&amp;utm_source=octopart</t>
  </si>
  <si>
    <t>WSL2010R1000FEA18</t>
  </si>
  <si>
    <t>RSENSE1</t>
  </si>
  <si>
    <t>0R100</t>
  </si>
  <si>
    <t>https://www.digikey.com/en/products/detail/vishay-dale/WSL2010R1000FEA18/713471?curr=gbp&amp;utm_campaign=buynow&amp;utm_medium=aggregator&amp;utm_source=octopart</t>
  </si>
  <si>
    <t>CC1812KKX7RYBB104</t>
  </si>
  <si>
    <t>C6</t>
  </si>
  <si>
    <t>100nF, 250V</t>
  </si>
  <si>
    <t>https://www.digikey.com/en/products/detail/yageo/CC1812KKX7RYBB104/8025658?curr=gbp&amp;utm_campaign=buynow&amp;utm_medium=aggregator&amp;utm_source=octopart</t>
  </si>
  <si>
    <t>KTR10EZPF1604</t>
  </si>
  <si>
    <t>R2</t>
  </si>
  <si>
    <t>1M6</t>
  </si>
  <si>
    <t>https://www.digikey.com/en/products/detail/rohm-semiconductor/KTR10EZPF1604/1983963?curr=gbp&amp;utm_campaign=buynow&amp;utm_medium=aggregator&amp;utm_source=octopart</t>
  </si>
  <si>
    <t>AEH10104R7M250R</t>
  </si>
  <si>
    <t>C4</t>
  </si>
  <si>
    <t>4u7, 250V</t>
  </si>
  <si>
    <t>https://www.digikey.com/en/products/detail/kyocera-avx-components-corporation/AEH10104R7M250R/21822541?curr=gbp&amp;utm_campaign=buynow&amp;utm_medium=aggregator&amp;utm_source=octopart</t>
  </si>
  <si>
    <t>Xiao nRF52840</t>
  </si>
  <si>
    <t>Microcontroller1</t>
  </si>
  <si>
    <t>Conn_01x08</t>
  </si>
  <si>
    <t>https://www.google.com/aclk?sa=L&amp;ai=DChsSEwicpPLynKWUAxVDk1AGHZEqKlkYACICCAEQExoCZGc&amp;co=1&amp;gclid=CjwKCAjwzevPBhBaEiwAplAxvsN6t_tD0owEw4TflEsaZQ60ufFdhobEifrwEF615BrUL29F1-fqxRoCX8IQAvD_BwE&amp;cce=1&amp;sig=AOD64_0QL7spy-WVdq1LHppbR7jBd_PUpQ&amp;ctype=5&amp;q=&amp;ved=2ahUKEwjlruzynKWUAxXuYEEAHcTmPMkQ9aACKAB6BAgJECI&amp;adurl=</t>
  </si>
  <si>
    <t>625-ES2F-E3</t>
  </si>
  <si>
    <t>D1</t>
  </si>
  <si>
    <t>ES2F</t>
  </si>
  <si>
    <t>https://www.digikey.com/en/products/detail/vishay-general-semiconductor-diodes-division/ES2F-E3-52T/1091575?curr=gbp&amp;utm_campaign=buynow&amp;utm_medium=aggregator&amp;utm_source=octopart</t>
  </si>
  <si>
    <t>HV513WG-G</t>
  </si>
  <si>
    <t>U2</t>
  </si>
  <si>
    <t>HV513</t>
  </si>
  <si>
    <t>https://www.digikey.com/en/products/detail/microchip-technology/HV513WG-G/4902648?curr=gbp&amp;utm_campaign=buynow&amp;utm_medium=aggregator&amp;utm_source=octopart</t>
  </si>
  <si>
    <t>MAX1771CPA</t>
  </si>
  <si>
    <t>U1</t>
  </si>
  <si>
    <t>MAX1771ESA</t>
  </si>
  <si>
    <t>https://www.digikey.co.uk/en/products/detail/analog-devices-inc-maxim-integrated/MAX1771CPA/1130157</t>
  </si>
  <si>
    <t>MCP41050T-I/SN</t>
  </si>
  <si>
    <t>U26</t>
  </si>
  <si>
    <t>MCP41050</t>
  </si>
  <si>
    <t>https://www.digikey.com/en/products/detail/microchip-technology/MCP41050T-I-SN/9923681?curr=gbp&amp;utm_campaign=buynow&amp;utm_medium=aggregator&amp;utm_source=octopart</t>
  </si>
  <si>
    <t>IRF644PBF-ND</t>
  </si>
  <si>
    <t>T1</t>
  </si>
  <si>
    <t>TK560P60Y</t>
  </si>
  <si>
    <t>https://uk.rs-online.com/web/p/mosfets/5429305?cm_mmc=aff2-_-uk-_-octopart-_-5429305-_-instock&amp;gad_source=7&amp;gad_campaignid=14989544798&amp;dclid=CIyFn6WcpZQDFfVUQQIdykgzUQ</t>
  </si>
  <si>
    <t>After VAT</t>
  </si>
  <si>
    <t>PCB (per board with delivery)</t>
  </si>
  <si>
    <t>https://jlcpcb.com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</si>
</sst>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_);[Red]\(&quot;£&quot;#,##0.00\)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8" fontId="1" fillId="0" borderId="0" xfId="0" applyNumberFormat="1" applyFont="1"/>
    <xf numFmtId="0" fontId="3" fillId="0" borderId="0" xfId="1" applyFont="1"/>
    <xf numFmtId="1" fontId="1" fillId="0" borderId="0" xfId="0" applyNumberFormat="1" applyFont="1"/>
    <xf numFmtId="0" fontId="4" fillId="0" borderId="0" xfId="1" applyFont="1"/>
    <xf numFmtId="0" fontId="5" fillId="0" borderId="0" xfId="0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833C-6D11-2D40-AD02-47997C3A9F19}">
  <dimension ref="A1:G21"/>
  <sheetViews>
    <sheetView tabSelected="1" workbookViewId="0">
      <selection activeCell="I10" sqref="I10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>
        <v>2</v>
      </c>
      <c r="E2" s="2">
        <v>7.0000000000000007E-2</v>
      </c>
      <c r="F2" s="3" t="s">
        <v>10</v>
      </c>
      <c r="G2" s="2">
        <f>D2*E2</f>
        <v>0.14000000000000001</v>
      </c>
    </row>
    <row r="3" spans="1:7" x14ac:dyDescent="0.2">
      <c r="A3" s="1" t="s">
        <v>11</v>
      </c>
      <c r="B3" s="1" t="s">
        <v>12</v>
      </c>
      <c r="C3" s="1" t="s">
        <v>13</v>
      </c>
      <c r="D3" s="1">
        <v>1</v>
      </c>
      <c r="E3" s="2">
        <v>0.27100000000000002</v>
      </c>
      <c r="F3" s="3" t="s">
        <v>14</v>
      </c>
      <c r="G3" s="2">
        <f t="shared" ref="G3:G18" si="0">D3*E3</f>
        <v>0.27100000000000002</v>
      </c>
    </row>
    <row r="4" spans="1:7" x14ac:dyDescent="0.2">
      <c r="A4" s="4">
        <v>875105344010</v>
      </c>
      <c r="B4" s="1" t="s">
        <v>15</v>
      </c>
      <c r="C4" s="1" t="s">
        <v>16</v>
      </c>
      <c r="D4" s="1">
        <v>1</v>
      </c>
      <c r="E4" s="2">
        <v>0.5</v>
      </c>
      <c r="F4" s="3" t="s">
        <v>17</v>
      </c>
      <c r="G4" s="2">
        <f t="shared" si="0"/>
        <v>0.5</v>
      </c>
    </row>
    <row r="5" spans="1:7" x14ac:dyDescent="0.2">
      <c r="A5" s="1" t="s">
        <v>18</v>
      </c>
      <c r="B5" s="1" t="s">
        <v>19</v>
      </c>
      <c r="C5" s="1" t="s">
        <v>20</v>
      </c>
      <c r="D5" s="1">
        <v>1</v>
      </c>
      <c r="E5" s="2">
        <v>0.82</v>
      </c>
      <c r="F5" s="3" t="s">
        <v>21</v>
      </c>
      <c r="G5" s="2">
        <f t="shared" si="0"/>
        <v>0.82</v>
      </c>
    </row>
    <row r="6" spans="1:7" x14ac:dyDescent="0.2">
      <c r="A6" s="1" t="s">
        <v>22</v>
      </c>
      <c r="B6" s="1" t="s">
        <v>23</v>
      </c>
      <c r="C6" s="1" t="s">
        <v>24</v>
      </c>
      <c r="D6" s="1">
        <v>1</v>
      </c>
      <c r="E6" s="2">
        <v>7.0000000000000007E-2</v>
      </c>
      <c r="F6" s="3" t="s">
        <v>25</v>
      </c>
      <c r="G6" s="2">
        <f t="shared" si="0"/>
        <v>7.0000000000000007E-2</v>
      </c>
    </row>
    <row r="7" spans="1:7" x14ac:dyDescent="0.2">
      <c r="A7" s="1" t="s">
        <v>26</v>
      </c>
      <c r="B7" s="1" t="s">
        <v>27</v>
      </c>
      <c r="C7" s="1" t="s">
        <v>28</v>
      </c>
      <c r="D7" s="1">
        <v>1</v>
      </c>
      <c r="E7" s="2">
        <v>7.0000000000000007E-2</v>
      </c>
      <c r="F7" s="3" t="s">
        <v>29</v>
      </c>
      <c r="G7" s="2">
        <f t="shared" si="0"/>
        <v>7.0000000000000007E-2</v>
      </c>
    </row>
    <row r="8" spans="1:7" x14ac:dyDescent="0.2">
      <c r="A8" s="1" t="s">
        <v>30</v>
      </c>
      <c r="B8" s="1" t="s">
        <v>31</v>
      </c>
      <c r="C8" s="1" t="s">
        <v>32</v>
      </c>
      <c r="D8" s="1">
        <v>4</v>
      </c>
      <c r="E8" s="2">
        <v>0.08</v>
      </c>
      <c r="F8" s="3" t="s">
        <v>33</v>
      </c>
      <c r="G8" s="2">
        <f t="shared" si="0"/>
        <v>0.32</v>
      </c>
    </row>
    <row r="9" spans="1:7" x14ac:dyDescent="0.2">
      <c r="A9" s="1" t="s">
        <v>34</v>
      </c>
      <c r="B9" s="1" t="s">
        <v>35</v>
      </c>
      <c r="C9" s="1" t="s">
        <v>36</v>
      </c>
      <c r="D9" s="1">
        <v>1</v>
      </c>
      <c r="E9" s="2">
        <v>0.76</v>
      </c>
      <c r="F9" s="3" t="s">
        <v>37</v>
      </c>
      <c r="G9" s="2">
        <f t="shared" si="0"/>
        <v>0.76</v>
      </c>
    </row>
    <row r="10" spans="1:7" x14ac:dyDescent="0.2">
      <c r="A10" s="1" t="s">
        <v>38</v>
      </c>
      <c r="B10" s="1" t="s">
        <v>39</v>
      </c>
      <c r="C10" s="1" t="s">
        <v>40</v>
      </c>
      <c r="D10" s="1">
        <v>1</v>
      </c>
      <c r="E10" s="2">
        <v>0.63</v>
      </c>
      <c r="F10" s="3" t="s">
        <v>41</v>
      </c>
      <c r="G10" s="2">
        <f t="shared" si="0"/>
        <v>0.63</v>
      </c>
    </row>
    <row r="11" spans="1:7" x14ac:dyDescent="0.2">
      <c r="A11" s="1" t="s">
        <v>42</v>
      </c>
      <c r="B11" s="1" t="s">
        <v>43</v>
      </c>
      <c r="C11" s="1" t="s">
        <v>44</v>
      </c>
      <c r="D11" s="1">
        <v>1</v>
      </c>
      <c r="E11" s="2">
        <v>0.14000000000000001</v>
      </c>
      <c r="F11" s="3" t="s">
        <v>45</v>
      </c>
      <c r="G11" s="2">
        <f t="shared" si="0"/>
        <v>0.14000000000000001</v>
      </c>
    </row>
    <row r="12" spans="1:7" x14ac:dyDescent="0.2">
      <c r="A12" s="1" t="s">
        <v>46</v>
      </c>
      <c r="B12" s="1" t="s">
        <v>47</v>
      </c>
      <c r="C12" s="1" t="s">
        <v>48</v>
      </c>
      <c r="D12" s="1">
        <v>1</v>
      </c>
      <c r="E12" s="2">
        <v>0.49</v>
      </c>
      <c r="F12" s="3" t="s">
        <v>49</v>
      </c>
      <c r="G12" s="2">
        <f t="shared" si="0"/>
        <v>0.49</v>
      </c>
    </row>
    <row r="13" spans="1:7" x14ac:dyDescent="0.2">
      <c r="A13" s="1" t="s">
        <v>50</v>
      </c>
      <c r="B13" s="1" t="s">
        <v>51</v>
      </c>
      <c r="C13" s="1" t="s">
        <v>52</v>
      </c>
      <c r="D13" s="1">
        <v>1</v>
      </c>
      <c r="E13" s="2">
        <v>9.5</v>
      </c>
      <c r="F13" s="3" t="s">
        <v>53</v>
      </c>
      <c r="G13" s="2">
        <f t="shared" si="0"/>
        <v>9.5</v>
      </c>
    </row>
    <row r="14" spans="1:7" x14ac:dyDescent="0.2">
      <c r="A14" s="1" t="s">
        <v>54</v>
      </c>
      <c r="B14" s="1" t="s">
        <v>55</v>
      </c>
      <c r="C14" s="1" t="s">
        <v>56</v>
      </c>
      <c r="D14" s="1">
        <v>1</v>
      </c>
      <c r="E14" s="2">
        <v>0.6</v>
      </c>
      <c r="F14" s="3" t="s">
        <v>57</v>
      </c>
      <c r="G14" s="2">
        <f t="shared" si="0"/>
        <v>0.6</v>
      </c>
    </row>
    <row r="15" spans="1:7" x14ac:dyDescent="0.2">
      <c r="A15" s="1" t="s">
        <v>58</v>
      </c>
      <c r="B15" s="1" t="s">
        <v>59</v>
      </c>
      <c r="C15" s="1" t="s">
        <v>60</v>
      </c>
      <c r="D15" s="1">
        <v>1</v>
      </c>
      <c r="E15" s="2">
        <v>3.1</v>
      </c>
      <c r="F15" s="5" t="s">
        <v>61</v>
      </c>
      <c r="G15" s="2">
        <f t="shared" si="0"/>
        <v>3.1</v>
      </c>
    </row>
    <row r="16" spans="1:7" x14ac:dyDescent="0.2">
      <c r="A16" s="1" t="s">
        <v>62</v>
      </c>
      <c r="B16" s="1" t="s">
        <v>63</v>
      </c>
      <c r="C16" s="1" t="s">
        <v>64</v>
      </c>
      <c r="D16" s="1">
        <v>1</v>
      </c>
      <c r="E16" s="2">
        <v>4.7</v>
      </c>
      <c r="F16" s="3" t="s">
        <v>65</v>
      </c>
      <c r="G16" s="2">
        <f t="shared" si="0"/>
        <v>4.7</v>
      </c>
    </row>
    <row r="17" spans="1:7" x14ac:dyDescent="0.2">
      <c r="A17" s="1" t="s">
        <v>66</v>
      </c>
      <c r="B17" s="1" t="s">
        <v>67</v>
      </c>
      <c r="C17" s="1" t="s">
        <v>68</v>
      </c>
      <c r="D17" s="1">
        <v>1</v>
      </c>
      <c r="E17" s="2">
        <v>1.4</v>
      </c>
      <c r="F17" s="3" t="s">
        <v>69</v>
      </c>
      <c r="G17" s="2">
        <f t="shared" si="0"/>
        <v>1.4</v>
      </c>
    </row>
    <row r="18" spans="1:7" x14ac:dyDescent="0.2">
      <c r="A18" s="1" t="s">
        <v>70</v>
      </c>
      <c r="B18" s="1" t="s">
        <v>71</v>
      </c>
      <c r="C18" s="1" t="s">
        <v>72</v>
      </c>
      <c r="D18" s="1">
        <v>1</v>
      </c>
      <c r="E18" s="2">
        <v>1.88</v>
      </c>
      <c r="F18" s="3" t="s">
        <v>73</v>
      </c>
      <c r="G18" s="2">
        <f t="shared" si="0"/>
        <v>1.88</v>
      </c>
    </row>
    <row r="19" spans="1:7" x14ac:dyDescent="0.2">
      <c r="A19" s="1"/>
      <c r="B19" s="6"/>
      <c r="C19" s="6"/>
      <c r="D19" s="1"/>
      <c r="E19" s="1"/>
      <c r="F19" s="1"/>
      <c r="G19" s="2">
        <f>SUM(G2:G18)</f>
        <v>25.390999999999995</v>
      </c>
    </row>
    <row r="20" spans="1:7" x14ac:dyDescent="0.2">
      <c r="A20" s="1"/>
      <c r="B20" s="6"/>
      <c r="C20" s="6"/>
      <c r="D20" s="1"/>
      <c r="E20" s="1"/>
      <c r="F20" s="7" t="s">
        <v>74</v>
      </c>
      <c r="G20" s="2">
        <f>G19*1.2</f>
        <v>30.469199999999994</v>
      </c>
    </row>
    <row r="21" spans="1:7" x14ac:dyDescent="0.2">
      <c r="A21" s="1" t="s">
        <v>75</v>
      </c>
      <c r="D21" s="1">
        <v>1</v>
      </c>
      <c r="E21" s="2">
        <v>28</v>
      </c>
      <c r="F21" s="3" t="s">
        <v>76</v>
      </c>
      <c r="G21" s="2">
        <f>SUM(G20,E21)</f>
        <v>58.469199999999994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Foster</dc:creator>
  <cp:lastModifiedBy>Carol Foster</cp:lastModifiedBy>
  <dcterms:created xsi:type="dcterms:W3CDTF">2026-05-08T13:49:53Z</dcterms:created>
  <dcterms:modified xsi:type="dcterms:W3CDTF">2026-05-08T13:50:16Z</dcterms:modified>
</cp:coreProperties>
</file>